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4"/>
  <workbookPr/>
  <xr:revisionPtr revIDLastSave="0" documentId="8_{61967147-4718-4B78-ABAE-4D568BDF54CA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Experiment Lo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A7" i="1" l="1"/>
  <c r="B23" i="1"/>
  <c r="B22" i="1"/>
  <c r="B21" i="1"/>
  <c r="B20" i="1"/>
  <c r="B19" i="1"/>
  <c r="B18" i="1"/>
  <c r="B17" i="1"/>
  <c r="A16" i="1"/>
  <c r="A15" i="1"/>
  <c r="A14" i="1"/>
  <c r="A13" i="1"/>
  <c r="A12" i="1"/>
  <c r="A11" i="1"/>
  <c r="A10" i="1"/>
  <c r="A9" i="1"/>
  <c r="A8" i="1"/>
  <c r="A6" i="1"/>
  <c r="A5" i="1"/>
  <c r="A4" i="1"/>
  <c r="A3" i="1"/>
</calcChain>
</file>

<file path=xl/sharedStrings.xml><?xml version="1.0" encoding="utf-8"?>
<sst xmlns="http://schemas.openxmlformats.org/spreadsheetml/2006/main" count="3" uniqueCount="3">
  <si>
    <t xml:space="preserve">Example spreadsheet experiment log: The titles on the second line become the tag names, and each row is interpreted as an experiment log entry. </t>
  </si>
  <si>
    <t>rflog</t>
  </si>
  <si>
    <t>gpslog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</si>
</sst>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reston_jan2016_files/creston_rf4b.csv" TargetMode="External"/><Relationship Id="rId13" Type="http://schemas.openxmlformats.org/officeDocument/2006/relationships/hyperlink" Target="https://creston_jan2016_files/creston_rf7.csv" TargetMode="External"/><Relationship Id="rId18" Type="http://schemas.openxmlformats.org/officeDocument/2006/relationships/hyperlink" Target="https://creston_jan2016_files/Crestonrf5.gpx" TargetMode="External"/><Relationship Id="rId3" Type="http://schemas.openxmlformats.org/officeDocument/2006/relationships/hyperlink" Target="https://creston_jan2016_files/creston_rf2.csv" TargetMode="External"/><Relationship Id="rId21" Type="http://schemas.openxmlformats.org/officeDocument/2006/relationships/hyperlink" Target="https://creston_jan2016_files/Creston8.gpx" TargetMode="External"/><Relationship Id="rId7" Type="http://schemas.openxmlformats.org/officeDocument/2006/relationships/hyperlink" Target="https://creston_jan2016_files/creston_rf4.csv" TargetMode="External"/><Relationship Id="rId12" Type="http://schemas.openxmlformats.org/officeDocument/2006/relationships/hyperlink" Target="https://creston_jan2016_files/creston_rf6b.csv" TargetMode="External"/><Relationship Id="rId17" Type="http://schemas.openxmlformats.org/officeDocument/2006/relationships/hyperlink" Target="https://creston_jan2016_files/Crestonrf4.gpx" TargetMode="External"/><Relationship Id="rId2" Type="http://schemas.openxmlformats.org/officeDocument/2006/relationships/hyperlink" Target="https://creston_jan2016_files/creston_rf1b.csv" TargetMode="External"/><Relationship Id="rId16" Type="http://schemas.openxmlformats.org/officeDocument/2006/relationships/hyperlink" Target="https://creston_jan2016_files/Crestonrf2.gpx" TargetMode="External"/><Relationship Id="rId20" Type="http://schemas.openxmlformats.org/officeDocument/2006/relationships/hyperlink" Target="https://creston_jan2016_files/Creston7.gpx" TargetMode="External"/><Relationship Id="rId1" Type="http://schemas.openxmlformats.org/officeDocument/2006/relationships/hyperlink" Target="https://creston_jan2016_files/creston_rf1.csv" TargetMode="External"/><Relationship Id="rId6" Type="http://schemas.openxmlformats.org/officeDocument/2006/relationships/hyperlink" Target="https://creston_jan2016_files/creston_rf3b.csv" TargetMode="External"/><Relationship Id="rId11" Type="http://schemas.openxmlformats.org/officeDocument/2006/relationships/hyperlink" Target="https://creston_jan2016_files/creston_rf6.csv" TargetMode="External"/><Relationship Id="rId5" Type="http://schemas.openxmlformats.org/officeDocument/2006/relationships/hyperlink" Target="https://creston_jan2016_files/creston_rf3.csv" TargetMode="External"/><Relationship Id="rId15" Type="http://schemas.openxmlformats.org/officeDocument/2006/relationships/hyperlink" Target="https://creston_jan2016_files/Crestonrf1.gpx" TargetMode="External"/><Relationship Id="rId10" Type="http://schemas.openxmlformats.org/officeDocument/2006/relationships/hyperlink" Target="https://creston_jan2016_files/creston_rf5b.csv" TargetMode="External"/><Relationship Id="rId19" Type="http://schemas.openxmlformats.org/officeDocument/2006/relationships/hyperlink" Target="https://creston_jan2016_files/Creston5.gpx" TargetMode="External"/><Relationship Id="rId4" Type="http://schemas.openxmlformats.org/officeDocument/2006/relationships/hyperlink" Target="https://creston_jan2016_files/creston_rf2b.csv" TargetMode="External"/><Relationship Id="rId9" Type="http://schemas.openxmlformats.org/officeDocument/2006/relationships/hyperlink" Target="https://creston_jan2016_files/creston_rf5.csv" TargetMode="External"/><Relationship Id="rId14" Type="http://schemas.openxmlformats.org/officeDocument/2006/relationships/hyperlink" Target="https://creston_jan2016_files/creston_rf7b.cs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5535"/>
  <sheetViews>
    <sheetView tabSelected="1" zoomScale="110" zoomScaleNormal="110" workbookViewId="0">
      <selection activeCell="A8" sqref="A8"/>
    </sheetView>
  </sheetViews>
  <sheetFormatPr defaultColWidth="11.5703125" defaultRowHeight="14.65" customHeight="1"/>
  <cols>
    <col min="1" max="2" width="33.7109375" customWidth="1"/>
  </cols>
  <sheetData>
    <row r="1" spans="1:2">
      <c r="A1" t="s">
        <v>0</v>
      </c>
    </row>
    <row r="2" spans="1:2" ht="12.2">
      <c r="A2" t="s">
        <v>1</v>
      </c>
      <c r="B2" t="s">
        <v>2</v>
      </c>
    </row>
    <row r="3" spans="1:2" ht="12.75">
      <c r="A3" s="1" t="str">
        <f>HYPERLINK("creston_jan2016_files/creston_rf1.csv")</f>
        <v>creston_jan2016_files/creston_rf1.csv</v>
      </c>
    </row>
    <row r="4" spans="1:2" ht="12.75">
      <c r="A4" s="1" t="str">
        <f>HYPERLINK("creston_jan2016_files/creston_rf1b.csv")</f>
        <v>creston_jan2016_files/creston_rf1b.csv</v>
      </c>
    </row>
    <row r="5" spans="1:2" ht="12.75">
      <c r="A5" s="1" t="str">
        <f>HYPERLINK("creston_jan2016_files/creston_rf2.csv")</f>
        <v>creston_jan2016_files/creston_rf2.csv</v>
      </c>
    </row>
    <row r="6" spans="1:2" ht="12.75">
      <c r="A6" s="1" t="str">
        <f>HYPERLINK("creston_jan2016_files/creston_rf2b.csv")</f>
        <v>creston_jan2016_files/creston_rf2b.csv</v>
      </c>
    </row>
    <row r="7" spans="1:2" ht="12.75">
      <c r="A7" s="1" t="str">
        <f>HYPERLINK("creston_jan2016_files/creston_rf3.csv")</f>
        <v>creston_jan2016_files/creston_rf3.csv</v>
      </c>
    </row>
    <row r="8" spans="1:2" ht="12.75">
      <c r="A8" s="1" t="str">
        <f>HYPERLINK("creston_jan2016_files/creston_rf3b.csv")</f>
        <v>creston_jan2016_files/creston_rf3b.csv</v>
      </c>
    </row>
    <row r="9" spans="1:2" ht="12.75">
      <c r="A9" s="1" t="str">
        <f>HYPERLINK("creston_jan2016_files/creston_rf4.csv")</f>
        <v>creston_jan2016_files/creston_rf4.csv</v>
      </c>
    </row>
    <row r="10" spans="1:2" ht="12.75">
      <c r="A10" s="1" t="str">
        <f>HYPERLINK("creston_jan2016_files/creston_rf4b.csv")</f>
        <v>creston_jan2016_files/creston_rf4b.csv</v>
      </c>
    </row>
    <row r="11" spans="1:2" ht="12.75">
      <c r="A11" s="1" t="str">
        <f>HYPERLINK("creston_jan2016_files/creston_rf5.csv")</f>
        <v>creston_jan2016_files/creston_rf5.csv</v>
      </c>
    </row>
    <row r="12" spans="1:2" ht="12.75">
      <c r="A12" s="1" t="str">
        <f>HYPERLINK("creston_jan2016_files/creston_rf5b.csv")</f>
        <v>creston_jan2016_files/creston_rf5b.csv</v>
      </c>
    </row>
    <row r="13" spans="1:2" ht="12.75">
      <c r="A13" s="1" t="str">
        <f>HYPERLINK("creston_jan2016_files/creston_rf6.csv")</f>
        <v>creston_jan2016_files/creston_rf6.csv</v>
      </c>
    </row>
    <row r="14" spans="1:2" ht="12.75">
      <c r="A14" s="1" t="str">
        <f>HYPERLINK("creston_jan2016_files/creston_rf6b.csv")</f>
        <v>creston_jan2016_files/creston_rf6b.csv</v>
      </c>
    </row>
    <row r="15" spans="1:2" ht="12.75">
      <c r="A15" s="1" t="str">
        <f>HYPERLINK("creston_jan2016_files/creston_rf7.csv")</f>
        <v>creston_jan2016_files/creston_rf7.csv</v>
      </c>
    </row>
    <row r="16" spans="1:2" ht="12.75">
      <c r="A16" s="1" t="str">
        <f>HYPERLINK("creston_jan2016_files/creston_rf7b.csv")</f>
        <v>creston_jan2016_files/creston_rf7b.csv</v>
      </c>
    </row>
    <row r="17" spans="2:2" ht="12.75">
      <c r="B17" s="1" t="str">
        <f>HYPERLINK("creston_jan2016_files/Crestonrf1.gpx")</f>
        <v>creston_jan2016_files/Crestonrf1.gpx</v>
      </c>
    </row>
    <row r="18" spans="2:2" ht="12.75">
      <c r="B18" s="1" t="str">
        <f>HYPERLINK("creston_jan2016_files/Crestonrf2.gpx")</f>
        <v>creston_jan2016_files/Crestonrf2.gpx</v>
      </c>
    </row>
    <row r="19" spans="2:2" ht="12.75">
      <c r="B19" s="1" t="str">
        <f>HYPERLINK("creston_jan2016_files/Crestonrf4.gpx")</f>
        <v>creston_jan2016_files/Crestonrf4.gpx</v>
      </c>
    </row>
    <row r="20" spans="2:2" ht="12.75">
      <c r="B20" s="1" t="str">
        <f>HYPERLINK("creston_jan2016_files/Crestonrf5.gpx")</f>
        <v>creston_jan2016_files/Crestonrf5.gpx</v>
      </c>
    </row>
    <row r="21" spans="2:2" ht="12.75">
      <c r="B21" s="1" t="str">
        <f>HYPERLINK("creston_jan2016_files/Creston5.gpx")</f>
        <v>creston_jan2016_files/Creston5.gpx</v>
      </c>
    </row>
    <row r="22" spans="2:2" ht="12.75">
      <c r="B22" s="1" t="str">
        <f>HYPERLINK("creston_jan2016_files/Creston7.gpx")</f>
        <v>creston_jan2016_files/Creston7.gpx</v>
      </c>
    </row>
    <row r="23" spans="2:2" ht="12.75">
      <c r="B23" s="1" t="str">
        <f>HYPERLINK("creston_jan2016_files/Creston8.gpx")</f>
        <v>creston_jan2016_files/Creston8.gpx</v>
      </c>
    </row>
    <row r="65535" ht="12.75"/>
  </sheetData>
  <hyperlinks>
    <hyperlink ref="A3" r:id="rId1" display="creston_jan2016_files/creston_rf1.csv" xr:uid="{00000000-0004-0000-0000-000000000000}"/>
    <hyperlink ref="A4" r:id="rId2" display="creston_jan2016_files/creston_rf1b.csv" xr:uid="{00000000-0004-0000-0000-000001000000}"/>
    <hyperlink ref="A5" r:id="rId3" display="creston_jan2016_files/creston_rf2.csv" xr:uid="{00000000-0004-0000-0000-000002000000}"/>
    <hyperlink ref="A6" r:id="rId4" display="creston_jan2016_files/creston_rf2b.csv" xr:uid="{00000000-0004-0000-0000-000003000000}"/>
    <hyperlink ref="A7" r:id="rId5" display="creston_jan2016_files/creston_rf3.csv" xr:uid="{00000000-0004-0000-0000-000004000000}"/>
    <hyperlink ref="A8" r:id="rId6" display="creston_jan2016_files/creston_rf3b.csv" xr:uid="{00000000-0004-0000-0000-000005000000}"/>
    <hyperlink ref="A9" r:id="rId7" display="creston_jan2016_files/creston_rf4.csv" xr:uid="{00000000-0004-0000-0000-000006000000}"/>
    <hyperlink ref="A10" r:id="rId8" display="creston_jan2016_files/creston_rf4b.csv" xr:uid="{00000000-0004-0000-0000-000007000000}"/>
    <hyperlink ref="A11" r:id="rId9" display="creston_jan2016_files/creston_rf5.csv" xr:uid="{00000000-0004-0000-0000-000008000000}"/>
    <hyperlink ref="A12" r:id="rId10" display="creston_jan2016_files/creston_rf5b.csv" xr:uid="{00000000-0004-0000-0000-000009000000}"/>
    <hyperlink ref="A13" r:id="rId11" display="creston_jan2016_files/creston_rf6.csv" xr:uid="{00000000-0004-0000-0000-00000A000000}"/>
    <hyperlink ref="A14" r:id="rId12" display="creston_jan2016_files/creston_rf6b.csv" xr:uid="{00000000-0004-0000-0000-00000B000000}"/>
    <hyperlink ref="A15" r:id="rId13" display="creston_jan2016_files/creston_rf7.csv" xr:uid="{00000000-0004-0000-0000-00000C000000}"/>
    <hyperlink ref="A16" r:id="rId14" display="creston_jan2016_files/creston_rf7b.csv" xr:uid="{00000000-0004-0000-0000-00000D000000}"/>
    <hyperlink ref="B17" r:id="rId15" display="creston_jan2016_files/Crestonrf1.gpx" xr:uid="{00000000-0004-0000-0000-00000E000000}"/>
    <hyperlink ref="B18" r:id="rId16" display="creston_jan2016_files/Crestonrf2.gpx" xr:uid="{00000000-0004-0000-0000-00000F000000}"/>
    <hyperlink ref="B19" r:id="rId17" display="creston_jan2016_files/Crestonrf4.gpx" xr:uid="{00000000-0004-0000-0000-000010000000}"/>
    <hyperlink ref="B20" r:id="rId18" display="creston_jan2016_files/Crestonrf5.gpx" xr:uid="{00000000-0004-0000-0000-000011000000}"/>
    <hyperlink ref="B21" r:id="rId19" display="creston_jan2016_files/Creston5.gpx" xr:uid="{00000000-0004-0000-0000-000012000000}"/>
    <hyperlink ref="B22" r:id="rId20" display="creston_jan2016_files/Creston7.gpx" xr:uid="{00000000-0004-0000-0000-000013000000}"/>
    <hyperlink ref="B23" r:id="rId21" display="creston_jan2016_files/Creston8.gpx" xr:uid="{00000000-0004-0000-0000-000014000000}"/>
  </hyperlinks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5</cp:revision>
  <dcterms:created xsi:type="dcterms:W3CDTF">2025-10-10T20:51:41Z</dcterms:created>
  <dcterms:modified xsi:type="dcterms:W3CDTF">2025-10-10T21:30:01Z</dcterms:modified>
  <cp:category/>
  <cp:contentStatus/>
</cp:coreProperties>
</file>